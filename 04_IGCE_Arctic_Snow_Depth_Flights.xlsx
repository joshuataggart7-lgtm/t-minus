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G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<sst xmlns="http://schemas.openxmlformats.org/spreadsheetml/2006/main" count="55" uniqueCount="51">
  <si>
    <t xml:space="preserve">SYNTHETIC SAMPLE — FICTIONAL DATA FOR T-MINUS TESTING. Not a NASA record.</t>
  </si>
  <si>
    <t xml:space="preserve">Independent Government Cost Estimate</t>
  </si>
  <si>
    <t xml:space="preserve">Commercial Aviation Services — Arctic Snow Depth Flights, Spring 2027 Campaign</t>
  </si>
  <si>
    <t xml:space="preserve">Requisition 4200SAMPLE0101 · Prepared by Dr. Dana Kowalczyk (fictional), Code SGE · 13 September 2026</t>
  </si>
  <si>
    <t xml:space="preserve">Basis of estimate: 2025 campaign actual invoices for the same aircraft class and radar (escalated 4%), operator budgetary quotes received August 2026 (two operators), GSA per diem for Fairbanks AK, and Fairbanks FBO published hangar and fuel rates. Blue cells are inputs.</t>
  </si>
  <si>
    <t xml:space="preserve">CLIN</t>
  </si>
  <si>
    <t xml:space="preserve">Description</t>
  </si>
  <si>
    <t xml:space="preserve">Qty</t>
  </si>
  <si>
    <t xml:space="preserve">Unit</t>
  </si>
  <si>
    <t xml:space="preserve">Unit price</t>
  </si>
  <si>
    <t xml:space="preserve">Extended</t>
  </si>
  <si>
    <t xml:space="preserve">Basis</t>
  </si>
  <si>
    <t xml:space="preserve">0001</t>
  </si>
  <si>
    <t xml:space="preserve">Flight hours, King Air-class aircraft with two pilots, science configuration</t>
  </si>
  <si>
    <t xml:space="preserve">hour</t>
  </si>
  <si>
    <t xml:space="preserve">2025 actual $3,460/hr escalated 4%; quotes $3,400–$3,900</t>
  </si>
  <si>
    <t xml:space="preserve">0002</t>
  </si>
  <si>
    <t xml:space="preserve">Mobilization and demobilization, home base to Fairbanks and return</t>
  </si>
  <si>
    <t xml:space="preserve">each</t>
  </si>
  <si>
    <t xml:space="preserve">2025 actual $52,800 each, escalated</t>
  </si>
  <si>
    <t xml:space="preserve">0003</t>
  </si>
  <si>
    <t xml:space="preserve">Standby days at Fairbanks, aircraft and crew</t>
  </si>
  <si>
    <t xml:space="preserve">day</t>
  </si>
  <si>
    <t xml:space="preserve">Quotes $4,500–$5,200/day</t>
  </si>
  <si>
    <t xml:space="preserve">0004</t>
  </si>
  <si>
    <t xml:space="preserve">Crew per diem, Fairbanks AK (3 crew × 45 days)</t>
  </si>
  <si>
    <t xml:space="preserve">person-day</t>
  </si>
  <si>
    <t xml:space="preserve">GSA FY2027 Fairbanks lodging + M&amp;IE (fictional rate for sample)</t>
  </si>
  <si>
    <t xml:space="preserve">0005</t>
  </si>
  <si>
    <t xml:space="preserve">Radar and fairing integration, conformity, weight and balance, EMI/EMC check</t>
  </si>
  <si>
    <t xml:space="preserve">lot</t>
  </si>
  <si>
    <t xml:space="preserve">2025 actual $198,500 escalated; includes two check flights' engineering</t>
  </si>
  <si>
    <t xml:space="preserve">0006</t>
  </si>
  <si>
    <t xml:space="preserve">Hangar, Fairbanks, aircraft with payload installed</t>
  </si>
  <si>
    <t xml:space="preserve">FBO published rate, heated hangar</t>
  </si>
  <si>
    <t xml:space="preserve">0007</t>
  </si>
  <si>
    <t xml:space="preserve">Fuel, Jet A, 160 hrs × 190 gal/hr</t>
  </si>
  <si>
    <t xml:space="preserve">gallon</t>
  </si>
  <si>
    <t xml:space="preserve">Fairbanks FBO posted price Aug 2026</t>
  </si>
  <si>
    <t xml:space="preserve">0008</t>
  </si>
  <si>
    <t xml:space="preserve">Aviation insurance rider for external payload and public aircraft operations</t>
  </si>
  <si>
    <t xml:space="preserve">Operator quote</t>
  </si>
  <si>
    <t xml:space="preserve">0009</t>
  </si>
  <si>
    <t xml:space="preserve">Project management, flight planning, reporting, data delivery</t>
  </si>
  <si>
    <t xml:space="preserve">2025 actual $86,000 escalated</t>
  </si>
  <si>
    <t xml:space="preserve">0010</t>
  </si>
  <si>
    <t xml:space="preserve">Management reserve / rounding</t>
  </si>
  <si>
    <t xml:space="preserve">Brings estimate to a round planning figure</t>
  </si>
  <si>
    <t xml:space="preserve">Total estimated value (firm-fixed-price, no options)</t>
  </si>
  <si>
    <t xml:space="preserve">Period of performance 1 March 2027 – 30 May 2027 · Place of performance Fairbanks, AK · No option periods</t>
  </si>
  <si>
    <t xml:space="preserve">Requester recommends FFP. Contracting officer to determine contract type and acquisition approach.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</si>
</sst>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392B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8F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1B3A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42" hidden="false" customHeight="true" outlineLevel="0" collapsed="false">
      <c r="A5" s="5" t="s">
        <v>4</v>
      </c>
      <c r="B5" s="5"/>
      <c r="C5" s="5"/>
      <c r="D5" s="5"/>
      <c r="E5" s="5"/>
      <c r="F5" s="5"/>
      <c r="G5" s="5"/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customFormat="false" ht="22.35" hidden="false" customHeight="false" outlineLevel="0" collapsed="false">
      <c r="A8" s="7" t="s">
        <v>12</v>
      </c>
      <c r="B8" s="7" t="s">
        <v>13</v>
      </c>
      <c r="C8" s="8" t="n">
        <v>160</v>
      </c>
      <c r="D8" s="7" t="s">
        <v>14</v>
      </c>
      <c r="E8" s="9" t="n">
        <v>3600</v>
      </c>
      <c r="F8" s="10" t="n">
        <f aca="false">C8*E8</f>
        <v>576000</v>
      </c>
      <c r="G8" s="11" t="s">
        <v>15</v>
      </c>
    </row>
    <row r="9" customFormat="false" ht="15" hidden="false" customHeight="false" outlineLevel="0" collapsed="false">
      <c r="A9" s="7" t="s">
        <v>16</v>
      </c>
      <c r="B9" s="7" t="s">
        <v>17</v>
      </c>
      <c r="C9" s="8" t="n">
        <v>2</v>
      </c>
      <c r="D9" s="7" t="s">
        <v>18</v>
      </c>
      <c r="E9" s="9" t="n">
        <v>55000</v>
      </c>
      <c r="F9" s="10" t="n">
        <f aca="false">C9*E9</f>
        <v>110000</v>
      </c>
      <c r="G9" s="11" t="s">
        <v>19</v>
      </c>
    </row>
    <row r="10" customFormat="false" ht="15" hidden="false" customHeight="false" outlineLevel="0" collapsed="false">
      <c r="A10" s="7" t="s">
        <v>20</v>
      </c>
      <c r="B10" s="7" t="s">
        <v>21</v>
      </c>
      <c r="C10" s="8" t="n">
        <v>20</v>
      </c>
      <c r="D10" s="7" t="s">
        <v>22</v>
      </c>
      <c r="E10" s="9" t="n">
        <v>4800</v>
      </c>
      <c r="F10" s="10" t="n">
        <f aca="false">C10*E10</f>
        <v>96000</v>
      </c>
      <c r="G10" s="11" t="s">
        <v>23</v>
      </c>
    </row>
    <row r="11" customFormat="false" ht="22.35" hidden="false" customHeight="false" outlineLevel="0" collapsed="false">
      <c r="A11" s="7" t="s">
        <v>24</v>
      </c>
      <c r="B11" s="7" t="s">
        <v>25</v>
      </c>
      <c r="C11" s="8" t="n">
        <v>135</v>
      </c>
      <c r="D11" s="7" t="s">
        <v>26</v>
      </c>
      <c r="E11" s="9" t="n">
        <v>310</v>
      </c>
      <c r="F11" s="10" t="n">
        <f aca="false">C11*E11</f>
        <v>41850</v>
      </c>
      <c r="G11" s="11" t="s">
        <v>27</v>
      </c>
    </row>
    <row r="12" customFormat="false" ht="22.35" hidden="false" customHeight="false" outlineLevel="0" collapsed="false">
      <c r="A12" s="7" t="s">
        <v>28</v>
      </c>
      <c r="B12" s="7" t="s">
        <v>29</v>
      </c>
      <c r="C12" s="8" t="n">
        <v>1</v>
      </c>
      <c r="D12" s="7" t="s">
        <v>30</v>
      </c>
      <c r="E12" s="9" t="n">
        <v>210000</v>
      </c>
      <c r="F12" s="10" t="n">
        <f aca="false">C12*E12</f>
        <v>210000</v>
      </c>
      <c r="G12" s="11" t="s">
        <v>31</v>
      </c>
    </row>
    <row r="13" customFormat="false" ht="15" hidden="false" customHeight="false" outlineLevel="0" collapsed="false">
      <c r="A13" s="7" t="s">
        <v>32</v>
      </c>
      <c r="B13" s="7" t="s">
        <v>33</v>
      </c>
      <c r="C13" s="8" t="n">
        <v>60</v>
      </c>
      <c r="D13" s="7" t="s">
        <v>22</v>
      </c>
      <c r="E13" s="9" t="n">
        <v>1300</v>
      </c>
      <c r="F13" s="10" t="n">
        <f aca="false">C13*E13</f>
        <v>78000</v>
      </c>
      <c r="G13" s="11" t="s">
        <v>34</v>
      </c>
    </row>
    <row r="14" customFormat="false" ht="15" hidden="false" customHeight="false" outlineLevel="0" collapsed="false">
      <c r="A14" s="7" t="s">
        <v>35</v>
      </c>
      <c r="B14" s="7" t="s">
        <v>36</v>
      </c>
      <c r="C14" s="8" t="n">
        <v>30400</v>
      </c>
      <c r="D14" s="7" t="s">
        <v>37</v>
      </c>
      <c r="E14" s="9" t="n">
        <v>6.1</v>
      </c>
      <c r="F14" s="10" t="n">
        <f aca="false">C14*E14</f>
        <v>185440</v>
      </c>
      <c r="G14" s="11" t="s">
        <v>38</v>
      </c>
    </row>
    <row r="15" customFormat="false" ht="15" hidden="false" customHeight="false" outlineLevel="0" collapsed="false">
      <c r="A15" s="7" t="s">
        <v>39</v>
      </c>
      <c r="B15" s="7" t="s">
        <v>40</v>
      </c>
      <c r="C15" s="8" t="n">
        <v>1</v>
      </c>
      <c r="D15" s="7" t="s">
        <v>30</v>
      </c>
      <c r="E15" s="9" t="n">
        <v>42000</v>
      </c>
      <c r="F15" s="10" t="n">
        <f aca="false">C15*E15</f>
        <v>42000</v>
      </c>
      <c r="G15" s="11" t="s">
        <v>41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8" t="n">
        <v>1</v>
      </c>
      <c r="D16" s="7" t="s">
        <v>30</v>
      </c>
      <c r="E16" s="9" t="n">
        <v>90000</v>
      </c>
      <c r="F16" s="10" t="n">
        <f aca="false">C16*E16</f>
        <v>90000</v>
      </c>
      <c r="G16" s="11" t="s">
        <v>44</v>
      </c>
    </row>
    <row r="17" customFormat="false" ht="15" hidden="false" customHeight="false" outlineLevel="0" collapsed="false">
      <c r="A17" s="7" t="s">
        <v>45</v>
      </c>
      <c r="B17" s="7" t="s">
        <v>46</v>
      </c>
      <c r="C17" s="8" t="n">
        <v>1</v>
      </c>
      <c r="D17" s="7" t="s">
        <v>30</v>
      </c>
      <c r="E17" s="9" t="n">
        <v>20710</v>
      </c>
      <c r="F17" s="10" t="n">
        <f aca="false">C17*E17</f>
        <v>20710</v>
      </c>
      <c r="G17" s="11" t="s">
        <v>47</v>
      </c>
    </row>
    <row r="18" customFormat="false" ht="15" hidden="false" customHeight="false" outlineLevel="0" collapsed="false">
      <c r="B18" s="3" t="s">
        <v>48</v>
      </c>
      <c r="F18" s="12" t="n">
        <f aca="false">SUM(F8:F17)</f>
        <v>1450000</v>
      </c>
    </row>
    <row r="20" customFormat="false" ht="15" hidden="false" customHeight="false" outlineLevel="0" collapsed="false">
      <c r="B20" s="4" t="s">
        <v>49</v>
      </c>
    </row>
    <row r="21" customFormat="false" ht="15" hidden="false" customHeight="false" outlineLevel="0" collapsed="false">
      <c r="B21" s="4" t="s">
        <v>50</v>
      </c>
    </row>
  </sheetData>
  <mergeCells count="1">
    <mergeCell ref="A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2026-09-14T14:46:30Z</dcterms:created>
  <dc:creator>openpyxl</dc:creator>
  <dc:description/>
  <dc:language>en-US</dc:language>
  <cp:lastModifiedBy/>
  <dcterms:modified xsi:type="dcterms:W3CDTF">2026-09-14T14:46:30Z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